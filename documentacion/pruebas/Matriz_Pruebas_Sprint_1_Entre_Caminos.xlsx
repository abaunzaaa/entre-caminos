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a8b90fed0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dd18b004e974a9e"/>
    <x:sheet xmlns:r="http://schemas.openxmlformats.org/officeDocument/2006/relationships" name="Casos de prueba" sheetId="2" r:id="Rf34c8a68ffc84a8b"/>
    <x:sheet xmlns:r="http://schemas.openxmlformats.org/officeDocument/2006/relationships" name="Cierre Sprint" sheetId="3" r:id="R2dbb43f7f81c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201D"/>
      <x:name val="Aptos"/>
    </x:font>
    <x:font>
      <x:b/>
      <x:sz val="18"/>
      <x:color rgb="FFFFFFFF"/>
      <x:name val="Aptos Display"/>
    </x:font>
    <x:font>
      <x:i/>
      <x:sz val="11"/>
      <x:color rgb="FF17201D"/>
      <x:name val="Aptos"/>
    </x:font>
    <x:font>
      <x:b/>
      <x:sz val="10"/>
      <x:color rgb="FFFFFFFF"/>
      <x:name val="Aptos"/>
    </x:font>
    <x:font>
      <x:i/>
      <x:sz val="10"/>
      <x:color rgb="FF17201D"/>
      <x:name val="Aptos"/>
    </x:font>
    <x:font>
      <x:b/>
      <x:sz val="17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264E45"/>
      </x:patternFill>
    </x:fill>
    <x:fill>
      <x:patternFill patternType="solid">
        <x:fgColor rgb="FFDDE9E4"/>
      </x:patternFill>
    </x:fill>
    <x:fill>
      <x:patternFill patternType="solid">
        <x:fgColor rgb="FFF3F3F0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3">
    <x:border/>
    <x:border>
      <x:left/>
      <x:right/>
      <x:top/>
      <x:bottom/>
    </x:border>
    <x:border>
      <x:bottom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1ab5f5b374ca9" /><Relationship Type="http://schemas.openxmlformats.org/officeDocument/2006/relationships/theme" Target="/xl/theme/theme1.xml" Id="Rc9a7e327c20a482d" /><Relationship Type="http://schemas.openxmlformats.org/officeDocument/2006/relationships/sharedStrings" Target="/xl/sharedStrings.xml" Id="R554853b3e7ee46a0" /><Relationship Type="http://schemas.openxmlformats.org/officeDocument/2006/relationships/worksheet" Target="/xl/worksheets/sheet1.xml" Id="R6dd18b004e974a9e" /><Relationship Type="http://schemas.openxmlformats.org/officeDocument/2006/relationships/worksheet" Target="/xl/worksheets/sheet2.xml" Id="Rf34c8a68ffc84a8b" /><Relationship Type="http://schemas.openxmlformats.org/officeDocument/2006/relationships/worksheet" Target="/xl/worksheets/sheet3.xml" Id="R2dbb43f7f81c42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2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1" t="str">
        <x:v>PLAN DE PRUEBAS · SPRINT 1 · ENTRE CAMINOS</x:v>
      </x:c>
      <x:c r="B1" s="21"/>
      <x:c r="C1" s="21"/>
      <x:c r="D1" s="21"/>
      <x:c r="E1" s="21"/>
      <x:c r="F1" s="21"/>
      <x:c r="G1" s="21"/>
      <x:c r="H1" s="21"/>
    </x:row>
    <x:row r="2" ht="26" customHeight="1">
      <x:c r="A2" s="22" t="str">
        <x:v>Matriz trazable construida desde los criterios BDD oficiales del Sprint Backlog 1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Indicador</x:v>
      </x:c>
      <x:c r="B4" s="24" t="str">
        <x:v>Valor</x:v>
      </x:c>
      <x:c r="C4" s="23"/>
      <x:c r="D4" s="24" t="str">
        <x:v>HU</x:v>
      </x:c>
      <x:c r="E4" s="24" t="str">
        <x:v>Historia</x:v>
      </x:c>
      <x:c r="F4" s="24" t="str">
        <x:v>Casos</x:v>
      </x:c>
      <x:c r="G4" s="24" t="str">
        <x:v>Estado backlog</x:v>
      </x:c>
      <x:c r="H4" s="24" t="str">
        <x:v>Cobertura</x:v>
      </x:c>
    </x:row>
    <x:row r="5">
      <x:c r="A5" s="25" t="str">
        <x:v>Casos definidos</x:v>
      </x:c>
      <x:c r="B5" s="25" t="n">
        <x:f>COUNTA('Casos de prueba'!A2:A31)</x:f>
        <x:v>30</x:v>
      </x:c>
      <x:c r="C5" s="23"/>
      <x:c r="D5" s="26" t="str">
        <x:v>HU-02</x:v>
      </x:c>
      <x:c r="E5" s="26" t="str">
        <x:v>Crear cuenta</x:v>
      </x:c>
      <x:c r="F5" s="26" t="n">
        <x:f>COUNTIF('Casos de prueba'!B:B,D5)</x:f>
        <x:v>4</x:v>
      </x:c>
      <x:c r="G5" s="26" t="str">
        <x:v>Hecha</x:v>
      </x:c>
      <x:c r="H5" s="26" t="str">
        <x:f>IF(F5=0,"Sin casos","Trazada")</x:f>
        <x:v>Trazada</x:v>
      </x:c>
    </x:row>
    <x:row r="6">
      <x:c r="A6" s="25" t="str">
        <x:v>No ejecutadas</x:v>
      </x:c>
      <x:c r="B6" s="25" t="n">
        <x:f>COUNTIF('Casos de prueba'!K2:K31,"No ejecutada")</x:f>
        <x:v>30</x:v>
      </x:c>
      <x:c r="C6" s="23"/>
      <x:c r="D6" s="26" t="str">
        <x:v>HU-03</x:v>
      </x:c>
      <x:c r="E6" s="26" t="str">
        <x:v>Inicio, cierre y recuperación</x:v>
      </x:c>
      <x:c r="F6" s="26" t="n">
        <x:f>COUNTIF('Casos de prueba'!B:B,D6)</x:f>
        <x:v>5</x:v>
      </x:c>
      <x:c r="G6" s="26" t="str">
        <x:v>Hecha</x:v>
      </x:c>
      <x:c r="H6" s="26" t="str">
        <x:f>IF(F6=0,"Sin casos","Trazada")</x:f>
        <x:v>Trazada</x:v>
      </x:c>
    </x:row>
    <x:row r="7">
      <x:c r="A7" s="25" t="str">
        <x:v>Aprobadas</x:v>
      </x:c>
      <x:c r="B7" s="25" t="n">
        <x:f>COUNTIF('Casos de prueba'!K2:K31,"Aprobada")</x:f>
        <x:v>0</x:v>
      </x:c>
      <x:c r="C7" s="23"/>
      <x:c r="D7" s="26" t="str">
        <x:v>HU-21</x:v>
      </x:c>
      <x:c r="E7" s="26" t="str">
        <x:v>Panel y cuentas administrativas</x:v>
      </x:c>
      <x:c r="F7" s="26" t="n">
        <x:f>COUNTIF('Casos de prueba'!B:B,D7)</x:f>
        <x:v>6</x:v>
      </x:c>
      <x:c r="G7" s="26" t="str">
        <x:v>Hecha</x:v>
      </x:c>
      <x:c r="H7" s="26" t="str">
        <x:f>IF(F7=0,"Sin casos","Trazada")</x:f>
        <x:v>Trazada</x:v>
      </x:c>
    </x:row>
    <x:row r="8">
      <x:c r="A8" s="25" t="str">
        <x:v>Fallidas</x:v>
      </x:c>
      <x:c r="B8" s="25" t="n">
        <x:f>COUNTIF('Casos de prueba'!K2:K31,"Fallida")</x:f>
        <x:v>0</x:v>
      </x:c>
      <x:c r="C8" s="23"/>
      <x:c r="D8" s="26" t="str">
        <x:v>HU-20</x:v>
      </x:c>
      <x:c r="E8" s="26" t="str">
        <x:v>Gestión de categorías</x:v>
      </x:c>
      <x:c r="F8" s="26" t="n">
        <x:f>COUNTIF('Casos de prueba'!B:B,D8)</x:f>
        <x:v>5</x:v>
      </x:c>
      <x:c r="G8" s="26" t="str">
        <x:v>Hecha</x:v>
      </x:c>
      <x:c r="H8" s="26" t="str">
        <x:f>IF(F8=0,"Sin casos","Trazada")</x:f>
        <x:v>Trazada</x:v>
      </x:c>
    </x:row>
    <x:row r="9">
      <x:c r="A9" s="25" t="str">
        <x:v>Bloqueadas</x:v>
      </x:c>
      <x:c r="B9" s="25" t="n">
        <x:f>COUNTIF('Casos de prueba'!K2:K31,"Bloqueada")</x:f>
        <x:v>0</x:v>
      </x:c>
      <x:c r="C9" s="23"/>
      <x:c r="D9" s="26" t="str">
        <x:v>HU-19</x:v>
      </x:c>
      <x:c r="E9" s="26" t="str">
        <x:v>Gestión de experiencias</x:v>
      </x:c>
      <x:c r="F9" s="26" t="n">
        <x:f>COUNTIF('Casos de prueba'!B:B,D9)</x:f>
        <x:v>6</x:v>
      </x:c>
      <x:c r="G9" s="26" t="str">
        <x:v>Hecha</x:v>
      </x:c>
      <x:c r="H9" s="26" t="str">
        <x:f>IF(F9=0,"Sin casos","Trazada")</x:f>
        <x:v>Trazada</x:v>
      </x:c>
    </x:row>
    <x:row r="10">
      <x:c r="A10" s="23"/>
      <x:c r="B10" s="23"/>
      <x:c r="C10" s="23"/>
      <x:c r="D10" s="26" t="str">
        <x:v>HU-01</x:v>
      </x:c>
      <x:c r="E10" s="26" t="str">
        <x:v>Exploración pública</x:v>
      </x:c>
      <x:c r="F10" s="26" t="n">
        <x:f>COUNTIF('Casos de prueba'!B:B,D10)</x:f>
        <x:v>4</x:v>
      </x:c>
      <x:c r="G10" s="26" t="str">
        <x:v>Hecha</x:v>
      </x:c>
      <x:c r="H10" s="26" t="str">
        <x:f>IF(F10=0,"Sin casos","Trazada")</x:f>
        <x:v>Trazada</x:v>
      </x:c>
    </x:row>
    <x:row r="11">
      <x:c r="A11" s="23"/>
      <x:c r="B11" s="23"/>
      <x:c r="C11" s="23"/>
      <x:c r="D11" s="26" t="str">
        <x:v>TOTAL</x:v>
      </x:c>
      <x:c r="E11" s="26" t="str"/>
      <x:c r="F11" s="26" t="n">
        <x:f>SUM(F5:F10)</x:f>
        <x:v>30</x:v>
      </x:c>
      <x:c r="G11" s="26" t="str"/>
      <x:c r="H11" s="26" t="str">
        <x:f>IF(F11=B5,"Completa","Revisar")</x:f>
        <x:v>Completa</x:v>
      </x:c>
    </x:row>
    <x:row r="12">
      <x:c r="A12" s="27" t="str">
        <x:v>Nota de control: el estado “Hecha” proviene del Sprint Backlog. Los casos permanecen “No ejecutada” hasta registrar resultado real y evidencia. No se infiere aprobación a partir del estado de la historia.</x:v>
      </x:c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</x:sheetData>
  <x:mergeCells>
    <x:mergeCell ref="A1:H1"/>
    <x:mergeCell ref="A2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10" hidden="0" customWidth="1"/>
    <x:col min="4" max="4" width="30" hidden="0" customWidth="1"/>
    <x:col min="5" max="5" width="24" hidden="0" customWidth="1"/>
    <x:col min="6" max="6" width="11" hidden="0" customWidth="1"/>
    <x:col min="7" max="7" width="42" hidden="0" customWidth="1"/>
    <x:col min="8" max="8" width="36" hidden="0" customWidth="1"/>
    <x:col min="9" max="9" width="52" hidden="0" customWidth="1"/>
    <x:col min="10" max="10" width="48" hidden="0" customWidth="1"/>
    <x:col min="11" max="11" width="16" hidden="0" customWidth="1"/>
    <x:col min="12" max="12" width="40" hidden="0" customWidth="1"/>
    <x:col min="13" max="13" width="30" hidden="0" customWidth="1"/>
    <x:col min="14" max="14" width="18" hidden="0" customWidth="1"/>
    <x:col min="15" max="15" width="18" hidden="0" customWidth="1"/>
    <x:col min="16" max="16" width="13" hidden="0" customWidth="1"/>
  </x:cols>
  <x:sheetData>
    <x:row r="1" ht="34" customHeight="1">
      <x:c r="A1" s="29" t="str">
        <x:v>ID caso</x:v>
      </x:c>
      <x:c r="B1" s="29" t="str">
        <x:v>HU</x:v>
      </x:c>
      <x:c r="C1" s="29" t="str">
        <x:v>Escenario</x:v>
      </x:c>
      <x:c r="D1" s="29" t="str">
        <x:v>Título</x:v>
      </x:c>
      <x:c r="E1" s="29" t="str">
        <x:v>Tipo</x:v>
      </x:c>
      <x:c r="F1" s="29" t="str">
        <x:v>Prioridad</x:v>
      </x:c>
      <x:c r="G1" s="29" t="str">
        <x:v>Precondición (Dado)</x:v>
      </x:c>
      <x:c r="H1" s="29" t="str">
        <x:v>Datos de prueba</x:v>
      </x:c>
      <x:c r="I1" s="29" t="str">
        <x:v>Pasos</x:v>
      </x:c>
      <x:c r="J1" s="29" t="str">
        <x:v>Resultado esperado (Entonces)</x:v>
      </x:c>
      <x:c r="K1" s="29" t="str">
        <x:v>Estado</x:v>
      </x:c>
      <x:c r="L1" s="29" t="str">
        <x:v>Resultado obtenido</x:v>
      </x:c>
      <x:c r="M1" s="29" t="str">
        <x:v>Evidencia</x:v>
      </x:c>
      <x:c r="N1" s="29" t="str">
        <x:v>Defecto / Jira</x:v>
      </x:c>
      <x:c r="O1" s="29" t="str">
        <x:v>Responsable</x:v>
      </x:c>
      <x:c r="P1" s="29" t="str">
        <x:v>Fecha</x:v>
      </x:c>
    </x:row>
    <x:row r="2" ht="92" customHeight="1">
      <x:c r="A2" s="33" t="str">
        <x:v>CP-S1-001</x:v>
      </x:c>
      <x:c r="B2" s="33" t="str">
        <x:v>HU-02</x:v>
      </x:c>
      <x:c r="C2" s="33" t="n">
        <x:v>1</x:v>
      </x:c>
      <x:c r="D2" s="33" t="str">
        <x:v>Registro exitoso de cuenta</x:v>
      </x:c>
      <x:c r="E2" s="33" t="str">
        <x:v>Funcional positivo</x:v>
      </x:c>
      <x:c r="F2" s="33" t="str">
        <x:v>Alta</x:v>
      </x:c>
      <x:c r="G2" s="33" t="str">
        <x:v>Dado que una persona visitante no posee una cuenta asociada al correo que desea utilizar</x:v>
      </x:c>
      <x:c r="H2" s="33" t="str">
        <x:v>Nombre, correo único de prueba, contraseña válida y confirmación.</x:v>
      </x:c>
      <x:c r="I2" s="33" t="str">
        <x:v>1. Preparar el estado: una persona visitante no posee una cuenta asociada al correo que desea utilizar.
2. Ingresar a la vista correspondiente a HU-02.
3. Ejecutar: completa los datos obligatorios con formatos válidos y confirma el registro.
4. Verificar la respuesta visual, la respuesta del backend y la persistencia cuando aplique.</x:v>
      </x:c>
      <x:c r="J2" s="33" t="str">
        <x:v>Entonces el sistema crea la cuenta, informa que el registro fue exitoso y permite continuar hacia el acceso a la plataforma.</x:v>
      </x:c>
      <x:c r="K2" s="33" t="str">
        <x:v>No ejecutada</x:v>
      </x:c>
      <x:c r="L2" s="33" t="str"/>
      <x:c r="M2" s="33" t="str"/>
      <x:c r="N2" s="33" t="str"/>
      <x:c r="O2" s="33" t="str"/>
      <x:c r="P2" s="33" t="str"/>
    </x:row>
    <x:row r="3" ht="92" customHeight="1">
      <x:c r="A3" s="31" t="str">
        <x:v>CP-S1-002</x:v>
      </x:c>
      <x:c r="B3" s="31" t="str">
        <x:v>HU-02</x:v>
      </x:c>
      <x:c r="C3" s="31" t="n">
        <x:v>2</x:v>
      </x:c>
      <x:c r="D3" s="31" t="str">
        <x:v>Validación de campos obligatorios</x:v>
      </x:c>
      <x:c r="E3" s="31" t="str">
        <x:v>Funcional negativo</x:v>
      </x:c>
      <x:c r="F3" s="31" t="str">
        <x:v>Alta</x:v>
      </x:c>
      <x:c r="G3" s="31" t="str">
        <x:v>Dado que una persona visitante se encuentra en el formulario de registro</x:v>
      </x:c>
      <x:c r="H3" s="31" t="str">
        <x:v>Nombre, correo único de prueba, contraseña válida y confirmación.</x:v>
      </x:c>
      <x:c r="I3" s="31" t="str">
        <x:v>1. Preparar el estado: una persona visitante se encuentra en el formulario de registro.
2. Ingresar a la vista correspondiente a HU-02.
3. Ejecutar: intenta enviar el formulario con uno o más campos obligatorios vacíos o con formato inválido.
4. Verificar la respuesta visual, la respuesta del backend y la persistencia cuando aplique.</x:v>
      </x:c>
      <x:c r="J3" s="31" t="str">
        <x:v>Entonces el sistema no crea la cuenta e identifica claramente los campos que deben corregirse.</x:v>
      </x:c>
      <x:c r="K3" s="31" t="str">
        <x:v>No ejecutada</x:v>
      </x:c>
      <x:c r="L3" s="31" t="str"/>
      <x:c r="M3" s="31" t="str"/>
      <x:c r="N3" s="31" t="str"/>
      <x:c r="O3" s="31" t="str"/>
      <x:c r="P3" s="31" t="str"/>
    </x:row>
    <x:row r="4" ht="92" customHeight="1">
      <x:c r="A4" s="33" t="str">
        <x:v>CP-S1-003</x:v>
      </x:c>
      <x:c r="B4" s="33" t="str">
        <x:v>HU-02</x:v>
      </x:c>
      <x:c r="C4" s="33" t="n">
        <x:v>3</x:v>
      </x:c>
      <x:c r="D4" s="33" t="str">
        <x:v>Correo ya registrado</x:v>
      </x:c>
      <x:c r="E4" s="33" t="str">
        <x:v>Funcional negativo</x:v>
      </x:c>
      <x:c r="F4" s="33" t="str">
        <x:v>Alta</x:v>
      </x:c>
      <x:c r="G4" s="33" t="str">
        <x:v>Dado que existe una cuenta previamente asociada al correo ingresado</x:v>
      </x:c>
      <x:c r="H4" s="33" t="str">
        <x:v>Correo existente en BD y contraseña válida de prueba.</x:v>
      </x:c>
      <x:c r="I4" s="33" t="str">
        <x:v>1. Preparar el estado: existe una cuenta previamente asociada al correo ingresado.
2. Ingresar a la vista correspondiente a HU-02.
3. Ejecutar: la persona visitante intenta crear una nueva cuenta con ese mismo correo.
4. Verificar la respuesta visual, la respuesta del backend y la persistencia cuando aplique.</x:v>
      </x:c>
      <x:c r="J4" s="33" t="str">
        <x:v>Entonces el sistema rechaza el registro e informa que el correo ya se encuentra asociado a una cuenta.</x:v>
      </x:c>
      <x:c r="K4" s="33" t="str">
        <x:v>No ejecutada</x:v>
      </x:c>
      <x:c r="L4" s="33" t="str"/>
      <x:c r="M4" s="33" t="str"/>
      <x:c r="N4" s="33" t="str"/>
      <x:c r="O4" s="33" t="str"/>
      <x:c r="P4" s="33" t="str"/>
    </x:row>
    <x:row r="5" ht="92" customHeight="1">
      <x:c r="A5" s="31" t="str">
        <x:v>CP-S1-004</x:v>
      </x:c>
      <x:c r="B5" s="31" t="str">
        <x:v>HU-02</x:v>
      </x:c>
      <x:c r="C5" s="31" t="n">
        <x:v>4</x:v>
      </x:c>
      <x:c r="D5" s="31" t="str">
        <x:v>Validación de contraseña</x:v>
      </x:c>
      <x:c r="E5" s="31" t="str">
        <x:v>Funcional negativo</x:v>
      </x:c>
      <x:c r="F5" s="31" t="str">
        <x:v>Alta</x:v>
      </x:c>
      <x:c r="G5" s="31" t="str">
        <x:v>Dado que una persona visitante está creando una cuenta</x:v>
      </x:c>
      <x:c r="H5" s="31" t="str">
        <x:v>Contraseñas que incumplan y cumplan las reglas configuradas.</x:v>
      </x:c>
      <x:c r="I5" s="31" t="str">
        <x:v>1. Preparar el estado: una persona visitante está creando una cuenta.
2. Ingresar a la vista correspondiente a HU-02.
3. Ejecutar: ingresa una contraseña que no cumple las reglas de seguridad definidas.
4. Verificar la respuesta visual, la respuesta del backend y la persistencia cuando aplique.</x:v>
      </x:c>
      <x:c r="J5" s="31" t="str">
        <x:v>Entonces el sistema no permite completar el registro e informa de manera comprensible los requisitos que debe cumplir la contraseña.</x:v>
      </x:c>
      <x:c r="K5" s="31" t="str">
        <x:v>No ejecutada</x:v>
      </x:c>
      <x:c r="L5" s="31" t="str"/>
      <x:c r="M5" s="31" t="str"/>
      <x:c r="N5" s="31" t="str"/>
      <x:c r="O5" s="31" t="str"/>
      <x:c r="P5" s="31" t="str"/>
    </x:row>
    <x:row r="6" ht="92" customHeight="1">
      <x:c r="A6" s="33" t="str">
        <x:v>CP-S1-005</x:v>
      </x:c>
      <x:c r="B6" s="33" t="str">
        <x:v>HU-03</x:v>
      </x:c>
      <x:c r="C6" s="33" t="n">
        <x:v>1</x:v>
      </x:c>
      <x:c r="D6" s="33" t="str">
        <x:v>Inicio de sesión exitoso</x:v>
      </x:c>
      <x:c r="E6" s="33" t="str">
        <x:v>Integración / seguridad</x:v>
      </x:c>
      <x:c r="F6" s="33" t="str">
        <x:v>Alta</x:v>
      </x:c>
      <x:c r="G6" s="33" t="str">
        <x:v>Dado que un usuario registrado posee una cuenta activa y credenciales válidas</x:v>
      </x:c>
      <x:c r="H6" s="33" t="str">
        <x:v>Cuenta activa de prueba y credenciales controladas.</x:v>
      </x:c>
      <x:c r="I6" s="33" t="str">
        <x:v>1. Preparar el estado: un usuario registrado posee una cuenta activa y credenciales válidas.
2. Ingresar a la vista correspondiente a HU-03.
3. Ejecutar: ingresa su correo y contraseña y solicita iniciar sesión.
4. Verificar la respuesta visual, la respuesta del backend y la persistencia cuando aplique.</x:v>
      </x:c>
      <x:c r="J6" s="33" t="str">
        <x:v>Entonces el sistema valida las credenciales, inicia la sesión y permite acceder a las funcionalidades personalizadas.</x:v>
      </x:c>
      <x:c r="K6" s="33" t="str">
        <x:v>No ejecutada</x:v>
      </x:c>
      <x:c r="L6" s="33" t="str"/>
      <x:c r="M6" s="33" t="str"/>
      <x:c r="N6" s="33" t="str"/>
      <x:c r="O6" s="33" t="str"/>
      <x:c r="P6" s="33" t="str"/>
    </x:row>
    <x:row r="7" ht="92" customHeight="1">
      <x:c r="A7" s="31" t="str">
        <x:v>CP-S1-006</x:v>
      </x:c>
      <x:c r="B7" s="31" t="str">
        <x:v>HU-03</x:v>
      </x:c>
      <x:c r="C7" s="31" t="n">
        <x:v>2</x:v>
      </x:c>
      <x:c r="D7" s="31" t="str">
        <x:v>Credenciales incorrectas</x:v>
      </x:c>
      <x:c r="E7" s="31" t="str">
        <x:v>Funcional negativo</x:v>
      </x:c>
      <x:c r="F7" s="31" t="str">
        <x:v>Alta</x:v>
      </x:c>
      <x:c r="G7" s="31" t="str">
        <x:v>Dado que un usuario registrado se encuentra en la pantalla de inicio de sesión</x:v>
      </x:c>
      <x:c r="H7" s="31" t="str">
        <x:v>Correo inexistente y/o contraseña incorrecta; no usar datos reales.</x:v>
      </x:c>
      <x:c r="I7" s="31" t="str">
        <x:v>1. Preparar el estado: un usuario registrado se encuentra en la pantalla de inicio de sesión.
2. Ingresar a la vista correspondiente a HU-03.
3. Ejecutar: ingresa un correo o contraseña que no corresponde con una cuenta válida.
4. Verificar la respuesta visual, la respuesta del backend y la persistencia cuando aplique.</x:v>
      </x:c>
      <x:c r="J7" s="31" t="str">
        <x:v>Entonces el sistema no inicia la sesión y muestra un mensaje comprensible sin revelar información sensible.</x:v>
      </x:c>
      <x:c r="K7" s="31" t="str">
        <x:v>No ejecutada</x:v>
      </x:c>
      <x:c r="L7" s="31" t="str"/>
      <x:c r="M7" s="31" t="str"/>
      <x:c r="N7" s="31" t="str"/>
      <x:c r="O7" s="31" t="str"/>
      <x:c r="P7" s="31" t="str"/>
    </x:row>
    <x:row r="8" ht="92" customHeight="1">
      <x:c r="A8" s="33" t="str">
        <x:v>CP-S1-007</x:v>
      </x:c>
      <x:c r="B8" s="33" t="str">
        <x:v>HU-03</x:v>
      </x:c>
      <x:c r="C8" s="33" t="n">
        <x:v>3</x:v>
      </x:c>
      <x:c r="D8" s="33" t="str">
        <x:v>Cierre de sesión</x:v>
      </x:c>
      <x:c r="E8" s="33" t="str">
        <x:v>Integración / seguridad</x:v>
      </x:c>
      <x:c r="F8" s="33" t="str">
        <x:v>Alta</x:v>
      </x:c>
      <x:c r="G8" s="33" t="str">
        <x:v>Dado que un usuario registrado tiene una sesión activa</x:v>
      </x:c>
      <x:c r="H8" s="33" t="str">
        <x:v>Cuenta activa de prueba y credenciales controladas.</x:v>
      </x:c>
      <x:c r="I8" s="33" t="str">
        <x:v>1. Preparar el estado: un usuario registrado tiene una sesión activa.
2. Ingresar a la vista correspondiente a HU-03.
3. Ejecutar: selecciona la opción de cerrar sesión.
4. Verificar la respuesta visual, la respuesta del backend y la persistencia cuando aplique.</x:v>
      </x:c>
      <x:c r="J8" s="33" t="str">
        <x:v>Entonces el sistema finaliza la sesión y restringe nuevamente el acceso a las funcionalidades que requieren autenticación.</x:v>
      </x:c>
      <x:c r="K8" s="33" t="str">
        <x:v>No ejecutada</x:v>
      </x:c>
      <x:c r="L8" s="33" t="str"/>
      <x:c r="M8" s="33" t="str"/>
      <x:c r="N8" s="33" t="str"/>
      <x:c r="O8" s="33" t="str"/>
      <x:c r="P8" s="33" t="str"/>
    </x:row>
    <x:row r="9" ht="92" customHeight="1">
      <x:c r="A9" s="31" t="str">
        <x:v>CP-S1-008</x:v>
      </x:c>
      <x:c r="B9" s="31" t="str">
        <x:v>HU-03</x:v>
      </x:c>
      <x:c r="C9" s="31" t="n">
        <x:v>4</x:v>
      </x:c>
      <x:c r="D9" s="31" t="str">
        <x:v>Mantenimiento de sesión</x:v>
      </x:c>
      <x:c r="E9" s="31" t="str">
        <x:v>Integración / seguridad</x:v>
      </x:c>
      <x:c r="F9" s="31" t="str">
        <x:v>Alta</x:v>
      </x:c>
      <x:c r="G9" s="31" t="str">
        <x:v>Dado que un usuario registrado ha iniciado sesión correctamente</x:v>
      </x:c>
      <x:c r="H9" s="31" t="str">
        <x:v>Cuenta activa de prueba y credenciales controladas.</x:v>
      </x:c>
      <x:c r="I9" s="31" t="str">
        <x:v>1. Preparar el estado: un usuario registrado ha iniciado sesión correctamente.
2. Ingresar a la vista correspondiente a HU-03.
3. Ejecutar: continúa navegando por la plataforma dentro de las condiciones de vigencia establecidas.
4. Verificar la respuesta visual, la respuesta del backend y la persistencia cuando aplique.</x:v>
      </x:c>
      <x:c r="J9" s="31" t="str">
        <x:v>Entonces el sistema mantiene la sesión activa y conserva el acceso a sus funcionalidades personalizadas hasta que cierre sesión o la sesión expire.</x:v>
      </x:c>
      <x:c r="K9" s="31" t="str">
        <x:v>No ejecutada</x:v>
      </x:c>
      <x:c r="L9" s="31" t="str"/>
      <x:c r="M9" s="31" t="str"/>
      <x:c r="N9" s="31" t="str"/>
      <x:c r="O9" s="31" t="str"/>
      <x:c r="P9" s="31" t="str"/>
    </x:row>
    <x:row r="10" ht="92" customHeight="1">
      <x:c r="A10" s="33" t="str">
        <x:v>CP-S1-009</x:v>
      </x:c>
      <x:c r="B10" s="33" t="str">
        <x:v>HU-03</x:v>
      </x:c>
      <x:c r="C10" s="33" t="n">
        <x:v>5</x:v>
      </x:c>
      <x:c r="D10" s="33" t="str">
        <x:v>Recuperación de contraseña</x:v>
      </x:c>
      <x:c r="E10" s="33" t="str">
        <x:v>Integración / seguridad</x:v>
      </x:c>
      <x:c r="F10" s="33" t="str">
        <x:v>Alta</x:v>
      </x:c>
      <x:c r="G10" s="33" t="str">
        <x:v>Dado que un usuario registrado no recuerda su contraseña y tiene acceso al correo asociado a su cuenta</x:v>
      </x:c>
      <x:c r="H10" s="33" t="str">
        <x:v>Contraseñas que incumplan y cumplan las reglas configuradas.</x:v>
      </x:c>
      <x:c r="I10" s="33" t="str">
        <x:v>1. Preparar el estado: un usuario registrado no recuerda su contraseña y tiene acceso al correo asociado a su cuenta.
2. Ingresar a la vista correspondiente a HU-03.
3. Ejecutar: solicita recuperar la contraseña y completa el mecanismo de verificación definido.
4. Verificar la respuesta visual, la respuesta del backend y la persistencia cuando aplique.</x:v>
      </x:c>
      <x:c r="J10" s="33" t="str">
        <x:v>Entonces el sistema permite establecer una nueva contraseña válida y posteriormente iniciar sesión con ella.</x:v>
      </x:c>
      <x:c r="K10" s="33" t="str">
        <x:v>No ejecutada</x:v>
      </x:c>
      <x:c r="L10" s="33" t="str"/>
      <x:c r="M10" s="33" t="str"/>
      <x:c r="N10" s="33" t="str"/>
      <x:c r="O10" s="33" t="str"/>
      <x:c r="P10" s="33" t="str"/>
    </x:row>
    <x:row r="11" ht="92" customHeight="1">
      <x:c r="A11" s="31" t="str">
        <x:v>CP-S1-010</x:v>
      </x:c>
      <x:c r="B11" s="31" t="str">
        <x:v>HU-21</x:v>
      </x:c>
      <x:c r="C11" s="31" t="n">
        <x:v>1</x:v>
      </x:c>
      <x:c r="D11" s="31" t="str">
        <x:v>Inicio de sesión administrativo</x:v>
      </x:c>
      <x:c r="E11" s="31" t="str">
        <x:v>Integración / seguridad</x:v>
      </x:c>
      <x:c r="F11" s="31" t="str">
        <x:v>Alta</x:v>
      </x:c>
      <x:c r="G11" s="31" t="str">
        <x:v>Dado que una persona posee una cuenta administrativa activa y credenciales autorizadas</x:v>
      </x:c>
      <x:c r="H11" s="31" t="str">
        <x:v>Cuenta administrativa de prueba con rol y permisos explícitos.</x:v>
      </x:c>
      <x:c r="I11" s="31" t="str">
        <x:v>1. Preparar el estado: una persona posee una cuenta administrativa activa y credenciales autorizadas.
2. Ingresar a la vista correspondiente a HU-21.
3. Ejecutar: ingresa sus credenciales en el acceso administrativo.
4. Verificar la respuesta visual, la respuesta del backend y la persistencia cuando aplique.</x:v>
      </x:c>
      <x:c r="J11" s="31" t="str">
        <x:v>Entonces el sistema valida la cuenta, inicia la sesión y permite acceder al panel según sus permisos.</x:v>
      </x:c>
      <x:c r="K11" s="31" t="str">
        <x:v>No ejecutada</x:v>
      </x:c>
      <x:c r="L11" s="31" t="str"/>
      <x:c r="M11" s="31" t="str"/>
      <x:c r="N11" s="31" t="str"/>
      <x:c r="O11" s="31" t="str"/>
      <x:c r="P11" s="31" t="str"/>
    </x:row>
    <x:row r="12" ht="92" customHeight="1">
      <x:c r="A12" s="33" t="str">
        <x:v>CP-S1-011</x:v>
      </x:c>
      <x:c r="B12" s="33" t="str">
        <x:v>HU-21</x:v>
      </x:c>
      <x:c r="C12" s="33" t="n">
        <x:v>2</x:v>
      </x:c>
      <x:c r="D12" s="33" t="str">
        <x:v>Acceso al panel administrativo</x:v>
      </x:c>
      <x:c r="E12" s="33" t="str">
        <x:v>Funcional positivo</x:v>
      </x:c>
      <x:c r="F12" s="33" t="str">
        <x:v>Alta</x:v>
      </x:c>
      <x:c r="G12" s="33" t="str">
        <x:v>Dado que un administrador ha iniciado sesión correctamente</x:v>
      </x:c>
      <x:c r="H12" s="33" t="str">
        <x:v>Cuenta administrativa de prueba con rol y permisos explícitos.</x:v>
      </x:c>
      <x:c r="I12" s="33" t="str">
        <x:v>1. Preparar el estado: un administrador ha iniciado sesión correctamente.
2. Ingresar a la vista correspondiente a HU-21.
3. Ejecutar: ingresa al panel principal.
4. Verificar la respuesta visual, la respuesta del backend y la persistencia cuando aplique.</x:v>
      </x:c>
      <x:c r="J12" s="33" t="str">
        <x:v>Entonces el sistema muestra un resumen de las funciones administrativas a las que tiene autorización de acceso.</x:v>
      </x:c>
      <x:c r="K12" s="33" t="str">
        <x:v>No ejecutada</x:v>
      </x:c>
      <x:c r="L12" s="33" t="str"/>
      <x:c r="M12" s="33" t="str"/>
      <x:c r="N12" s="33" t="str"/>
      <x:c r="O12" s="33" t="str"/>
      <x:c r="P12" s="33" t="str"/>
    </x:row>
    <x:row r="13" ht="92" customHeight="1">
      <x:c r="A13" s="31" t="str">
        <x:v>CP-S1-012</x:v>
      </x:c>
      <x:c r="B13" s="31" t="str">
        <x:v>HU-21</x:v>
      </x:c>
      <x:c r="C13" s="31" t="n">
        <x:v>3</x:v>
      </x:c>
      <x:c r="D13" s="31" t="str">
        <x:v>Crear cuenta administrativa</x:v>
      </x:c>
      <x:c r="E13" s="31" t="str">
        <x:v>CRUD / persistencia</x:v>
      </x:c>
      <x:c r="F13" s="31" t="str">
        <x:v>Alta</x:v>
      </x:c>
      <x:c r="G13" s="31" t="str">
        <x:v>Dado que un administrador con permisos suficientes se encuentra en la gestión de administradores</x:v>
      </x:c>
      <x:c r="H13" s="31" t="str">
        <x:v>Cuenta administrativa de prueba con rol y permisos explícitos.</x:v>
      </x:c>
      <x:c r="I13" s="31" t="str">
        <x:v>1. Preparar el estado: un administrador con permisos suficientes se encuentra en la gestión de administradores.
2. Ingresar a la vista correspondiente a HU-21.
3. Ejecutar: ingresa los datos obligatorios válidos de una nueva cuenta y confirma.
4. Verificar la respuesta visual, la respuesta del backend y la persistencia cuando aplique.</x:v>
      </x:c>
      <x:c r="J13" s="31" t="str">
        <x:v>Entonces el sistema crea la cuenta administrativa con el estado y permisos definidos.</x:v>
      </x:c>
      <x:c r="K13" s="31" t="str">
        <x:v>No ejecutada</x:v>
      </x:c>
      <x:c r="L13" s="31" t="str"/>
      <x:c r="M13" s="31" t="str"/>
      <x:c r="N13" s="31" t="str"/>
      <x:c r="O13" s="31" t="str"/>
      <x:c r="P13" s="31" t="str"/>
    </x:row>
    <x:row r="14" ht="92" customHeight="1">
      <x:c r="A14" s="33" t="str">
        <x:v>CP-S1-013</x:v>
      </x:c>
      <x:c r="B14" s="33" t="str">
        <x:v>HU-21</x:v>
      </x:c>
      <x:c r="C14" s="33" t="n">
        <x:v>4</x:v>
      </x:c>
      <x:c r="D14" s="33" t="str">
        <x:v>Consultar y actualizar administradores</x:v>
      </x:c>
      <x:c r="E14" s="33" t="str">
        <x:v>CRUD / persistencia</x:v>
      </x:c>
      <x:c r="F14" s="33" t="str">
        <x:v>Alta</x:v>
      </x:c>
      <x:c r="G14" s="33" t="str">
        <x:v>Dado que existen cuentas administrativas y el usuario actual tiene permisos para gestionarlas</x:v>
      </x:c>
      <x:c r="H14" s="33" t="str">
        <x:v>Cuenta administrativa de prueba con rol y permisos explícitos.</x:v>
      </x:c>
      <x:c r="I14" s="33" t="str">
        <x:v>1. Preparar el estado: existen cuentas administrativas y el usuario actual tiene permisos para gestionarlas.
2. Ingresar a la vista correspondiente a HU-21.
3. Ejecutar: consulta una cuenta y modifica información o estado permitido.
4. Verificar la respuesta visual, la respuesta del backend y la persistencia cuando aplique.</x:v>
      </x:c>
      <x:c r="J14" s="33" t="str">
        <x:v>Entonces el sistema muestra la información autorizada y guarda los cambios válidos.</x:v>
      </x:c>
      <x:c r="K14" s="33" t="str">
        <x:v>No ejecutada</x:v>
      </x:c>
      <x:c r="L14" s="33" t="str"/>
      <x:c r="M14" s="33" t="str"/>
      <x:c r="N14" s="33" t="str"/>
      <x:c r="O14" s="33" t="str"/>
      <x:c r="P14" s="33" t="str"/>
    </x:row>
    <x:row r="15" ht="92" customHeight="1">
      <x:c r="A15" s="31" t="str">
        <x:v>CP-S1-014</x:v>
      </x:c>
      <x:c r="B15" s="31" t="str">
        <x:v>HU-21</x:v>
      </x:c>
      <x:c r="C15" s="31" t="n">
        <x:v>5</x:v>
      </x:c>
      <x:c r="D15" s="31" t="str">
        <x:v>Desactivar o eliminar acceso administrativo</x:v>
      </x:c>
      <x:c r="E15" s="31" t="str">
        <x:v>CRUD / persistencia</x:v>
      </x:c>
      <x:c r="F15" s="31" t="str">
        <x:v>Alta</x:v>
      </x:c>
      <x:c r="G15" s="31" t="str">
        <x:v>Dado que una cuenta administrativa debe perder acceso y el usuario actual tiene permisos suficientes</x:v>
      </x:c>
      <x:c r="H15" s="31" t="str">
        <x:v>Cuenta administrativa de prueba con rol y permisos explícitos.</x:v>
      </x:c>
      <x:c r="I15" s="31" t="str">
        <x:v>1. Preparar el estado: una cuenta administrativa debe perder acceso y el usuario actual tiene permisos suficientes.
2. Ingresar a la vista correspondiente a HU-21.
3. Ejecutar: solicita desactivarla o eliminar su acceso y confirma.
4. Verificar la respuesta visual, la respuesta del backend y la persistencia cuando aplique.</x:v>
      </x:c>
      <x:c r="J15" s="31" t="str">
        <x:v>Entonces el sistema impide nuevos accesos de esa cuenta sin afectar indebidamente otros datos del sistema.</x:v>
      </x:c>
      <x:c r="K15" s="31" t="str">
        <x:v>No ejecutada</x:v>
      </x:c>
      <x:c r="L15" s="31" t="str"/>
      <x:c r="M15" s="31" t="str"/>
      <x:c r="N15" s="31" t="str"/>
      <x:c r="O15" s="31" t="str"/>
      <x:c r="P15" s="31" t="str"/>
    </x:row>
    <x:row r="16" ht="92" customHeight="1">
      <x:c r="A16" s="33" t="str">
        <x:v>CP-S1-015</x:v>
      </x:c>
      <x:c r="B16" s="33" t="str">
        <x:v>HU-21</x:v>
      </x:c>
      <x:c r="C16" s="33" t="n">
        <x:v>6</x:v>
      </x:c>
      <x:c r="D16" s="33" t="str">
        <x:v>Control de permisos</x:v>
      </x:c>
      <x:c r="E16" s="33" t="str">
        <x:v>Seguridad / autorización</x:v>
      </x:c>
      <x:c r="F16" s="33" t="str">
        <x:v>Alta</x:v>
      </x:c>
      <x:c r="G16" s="33" t="str">
        <x:v>Dado que un usuario o administrador sin permisos suficientes intenta crear, modificar, desactivar o eliminar una cuenta administrativa</x:v>
      </x:c>
      <x:c r="H16" s="33" t="str">
        <x:v>Cuenta administrativa de prueba con rol y permisos explícitos.</x:v>
      </x:c>
      <x:c r="I16" s="33" t="str">
        <x:v>1. Preparar el estado: un usuario o administrador sin permisos suficientes intenta crear, modificar, desactivar o eliminar una cuenta administrativa.
2. Ingresar a la vista correspondiente a HU-21.
3. Ejecutar: ejecuta una acción restringida.
4. Verificar la respuesta visual, la respuesta del backend y la persistencia cuando aplique.</x:v>
      </x:c>
      <x:c r="J16" s="33" t="str">
        <x:v>Entonces el sistema rechaza la operación, conserva la información existente y no concede privilegios adicionales.</x:v>
      </x:c>
      <x:c r="K16" s="33" t="str">
        <x:v>No ejecutada</x:v>
      </x:c>
      <x:c r="L16" s="33" t="str"/>
      <x:c r="M16" s="33" t="str"/>
      <x:c r="N16" s="33" t="str"/>
      <x:c r="O16" s="33" t="str"/>
      <x:c r="P16" s="33" t="str"/>
    </x:row>
    <x:row r="17" ht="92" customHeight="1">
      <x:c r="A17" s="31" t="str">
        <x:v>CP-S1-016</x:v>
      </x:c>
      <x:c r="B17" s="31" t="str">
        <x:v>HU-20</x:v>
      </x:c>
      <x:c r="C17" s="31" t="n">
        <x:v>1</x:v>
      </x:c>
      <x:c r="D17" s="31" t="str">
        <x:v>Crear categoría</x:v>
      </x:c>
      <x:c r="E17" s="31" t="str">
        <x:v>CRUD / persistencia</x:v>
      </x:c>
      <x:c r="F17" s="31" t="str">
        <x:v>Alta</x:v>
      </x:c>
      <x:c r="G17" s="31" t="str">
        <x:v>Dado que un administrador autorizado accede a la gestión de categorías</x:v>
      </x:c>
      <x:c r="H17" s="31" t="str">
        <x:v>Categoría de prueba con identificador único y estado definido.</x:v>
      </x:c>
      <x:c r="I17" s="31" t="str">
        <x:v>1. Preparar el estado: un administrador autorizado accede a la gestión de categorías.
2. Ingresar a la vista correspondiente a HU-20.
3. Ejecutar: ingresa los datos obligatorios de una categoría válida y confirma.
4. Verificar la respuesta visual, la respuesta del backend y la persistencia cuando aplique.</x:v>
      </x:c>
      <x:c r="J17" s="31" t="str">
        <x:v>Entonces el sistema crea la categoría y la deja disponible según su estado para clasificar experiencias.</x:v>
      </x:c>
      <x:c r="K17" s="31" t="str">
        <x:v>No ejecutada</x:v>
      </x:c>
      <x:c r="L17" s="31" t="str"/>
      <x:c r="M17" s="31" t="str"/>
      <x:c r="N17" s="31" t="str"/>
      <x:c r="O17" s="31" t="str"/>
      <x:c r="P17" s="31" t="str"/>
    </x:row>
    <x:row r="18" ht="92" customHeight="1">
      <x:c r="A18" s="33" t="str">
        <x:v>CP-S1-017</x:v>
      </x:c>
      <x:c r="B18" s="33" t="str">
        <x:v>HU-20</x:v>
      </x:c>
      <x:c r="C18" s="33" t="n">
        <x:v>2</x:v>
      </x:c>
      <x:c r="D18" s="33" t="str">
        <x:v>Consultar categorías</x:v>
      </x:c>
      <x:c r="E18" s="33" t="str">
        <x:v>Funcional positivo</x:v>
      </x:c>
      <x:c r="F18" s="33" t="str">
        <x:v>Alta</x:v>
      </x:c>
      <x:c r="G18" s="33" t="str">
        <x:v>Dado que existen categorías registradas en el sistema</x:v>
      </x:c>
      <x:c r="H18" s="33" t="str">
        <x:v>Categoría de prueba con identificador único y estado definido.</x:v>
      </x:c>
      <x:c r="I18" s="33" t="str">
        <x:v>1. Preparar el estado: existen categorías registradas en el sistema.
2. Ingresar a la vista correspondiente a HU-20.
3. Ejecutar: el administrador abre la gestión de categorías.
4. Verificar la respuesta visual, la respuesta del backend y la persistencia cuando aplique.</x:v>
      </x:c>
      <x:c r="J18" s="33" t="str">
        <x:v>Entonces el sistema muestra las categorías existentes junto con la información y estado necesarios para administrarlas.</x:v>
      </x:c>
      <x:c r="K18" s="33" t="str">
        <x:v>No ejecutada</x:v>
      </x:c>
      <x:c r="L18" s="33" t="str"/>
      <x:c r="M18" s="33" t="str"/>
      <x:c r="N18" s="33" t="str"/>
      <x:c r="O18" s="33" t="str"/>
      <x:c r="P18" s="33" t="str"/>
    </x:row>
    <x:row r="19" ht="92" customHeight="1">
      <x:c r="A19" s="31" t="str">
        <x:v>CP-S1-018</x:v>
      </x:c>
      <x:c r="B19" s="31" t="str">
        <x:v>HU-20</x:v>
      </x:c>
      <x:c r="C19" s="31" t="n">
        <x:v>3</x:v>
      </x:c>
      <x:c r="D19" s="31" t="str">
        <x:v>Actualizar categoría</x:v>
      </x:c>
      <x:c r="E19" s="31" t="str">
        <x:v>CRUD / persistencia</x:v>
      </x:c>
      <x:c r="F19" s="31" t="str">
        <x:v>Alta</x:v>
      </x:c>
      <x:c r="G19" s="31" t="str">
        <x:v>Dado que una categoría existente puede ser editada</x:v>
      </x:c>
      <x:c r="H19" s="31" t="str">
        <x:v>Categoría de prueba con identificador único y estado definido.</x:v>
      </x:c>
      <x:c r="I19" s="31" t="str">
        <x:v>1. Preparar el estado: una categoría existente puede ser editada.
2. Ingresar a la vista correspondiente a HU-20.
3. Ejecutar: el administrador modifica su nombre u otro dato permitido y guarda.
4. Verificar la respuesta visual, la respuesta del backend y la persistencia cuando aplique.</x:v>
      </x:c>
      <x:c r="J19" s="31" t="str">
        <x:v>Entonces el sistema actualiza la categoría y conserva correctamente las relaciones con las experiencias asociadas.</x:v>
      </x:c>
      <x:c r="K19" s="31" t="str">
        <x:v>No ejecutada</x:v>
      </x:c>
      <x:c r="L19" s="31" t="str"/>
      <x:c r="M19" s="31" t="str"/>
      <x:c r="N19" s="31" t="str"/>
      <x:c r="O19" s="31" t="str"/>
      <x:c r="P19" s="31" t="str"/>
    </x:row>
    <x:row r="20" ht="92" customHeight="1">
      <x:c r="A20" s="33" t="str">
        <x:v>CP-S1-019</x:v>
      </x:c>
      <x:c r="B20" s="33" t="str">
        <x:v>HU-20</x:v>
      </x:c>
      <x:c r="C20" s="33" t="n">
        <x:v>4</x:v>
      </x:c>
      <x:c r="D20" s="33" t="str">
        <x:v>Eliminar categoría sin asociaciones</x:v>
      </x:c>
      <x:c r="E20" s="33" t="str">
        <x:v>CRUD / persistencia</x:v>
      </x:c>
      <x:c r="F20" s="33" t="str">
        <x:v>Alta</x:v>
      </x:c>
      <x:c r="G20" s="33" t="str">
        <x:v>Dado que una categoría no está asociada a ninguna experiencia que impida su eliminación</x:v>
      </x:c>
      <x:c r="H20" s="33" t="str">
        <x:v>Categoría de prueba con identificador único y estado definido.</x:v>
      </x:c>
      <x:c r="I20" s="33" t="str">
        <x:v>1. Preparar el estado: una categoría no está asociada a ninguna experiencia que impida su eliminación.
2. Ingresar a la vista correspondiente a HU-20.
3. Ejecutar: el administrador solicita eliminarla y confirma.
4. Verificar la respuesta visual, la respuesta del backend y la persistencia cuando aplique.</x:v>
      </x:c>
      <x:c r="J20" s="33" t="str">
        <x:v>Entonces el sistema elimina o desactiva la categoría según la regla definida.</x:v>
      </x:c>
      <x:c r="K20" s="33" t="str">
        <x:v>No ejecutada</x:v>
      </x:c>
      <x:c r="L20" s="33" t="str"/>
      <x:c r="M20" s="33" t="str"/>
      <x:c r="N20" s="33" t="str"/>
      <x:c r="O20" s="33" t="str"/>
      <x:c r="P20" s="33" t="str"/>
    </x:row>
    <x:row r="21" ht="92" customHeight="1">
      <x:c r="A21" s="31" t="str">
        <x:v>CP-S1-020</x:v>
      </x:c>
      <x:c r="B21" s="31" t="str">
        <x:v>HU-20</x:v>
      </x:c>
      <x:c r="C21" s="31" t="n">
        <x:v>5</x:v>
      </x:c>
      <x:c r="D21" s="31" t="str">
        <x:v>Categoría asociada a experiencias</x:v>
      </x:c>
      <x:c r="E21" s="31" t="str">
        <x:v>Funcional negativo</x:v>
      </x:c>
      <x:c r="F21" s="31" t="str">
        <x:v>Alta</x:v>
      </x:c>
      <x:c r="G21" s="31" t="str">
        <x:v>Dado que la categoría que se intenta eliminar está asociada a una o más experiencias</x:v>
      </x:c>
      <x:c r="H21" s="31" t="str">
        <x:v>Categoría de prueba asociada al menos a una experiencia.</x:v>
      </x:c>
      <x:c r="I21" s="31" t="str">
        <x:v>1. Preparar el estado: la categoría que se intenta eliminar está asociada a una o más experiencias.
2. Ingresar a la vista correspondiente a HU-20.
3. Ejecutar: el administrador solicita su eliminación.
4. Verificar la respuesta visual, la respuesta del backend y la persistencia cuando aplique.</x:v>
      </x:c>
      <x:c r="J21" s="31" t="str">
        <x:v>Entonces el sistema informa las asociaciones existentes y exige reclasificar las experiencias antes de permitir completar la eliminación.</x:v>
      </x:c>
      <x:c r="K21" s="31" t="str">
        <x:v>No ejecutada</x:v>
      </x:c>
      <x:c r="L21" s="31" t="str"/>
      <x:c r="M21" s="31" t="str"/>
      <x:c r="N21" s="31" t="str"/>
      <x:c r="O21" s="31" t="str"/>
      <x:c r="P21" s="31" t="str"/>
    </x:row>
    <x:row r="22" ht="92" customHeight="1">
      <x:c r="A22" s="33" t="str">
        <x:v>CP-S1-021</x:v>
      </x:c>
      <x:c r="B22" s="33" t="str">
        <x:v>HU-19</x:v>
      </x:c>
      <x:c r="C22" s="33" t="n">
        <x:v>1</x:v>
      </x:c>
      <x:c r="D22" s="33" t="str">
        <x:v>Crear publicación de experiencia</x:v>
      </x:c>
      <x:c r="E22" s="33" t="str">
        <x:v>CRUD / persistencia</x:v>
      </x:c>
      <x:c r="F22" s="33" t="str">
        <x:v>Alta</x:v>
      </x:c>
      <x:c r="G22" s="33" t="str">
        <x:v>Dado que un administrador autorizado se encuentra en la gestión de publicaciones</x:v>
      </x:c>
      <x:c r="H22" s="33" t="str">
        <x:v>Experiencia de prueba con categoría, precio, ubicación, horario, imágenes y estado controlados.</x:v>
      </x:c>
      <x:c r="I22" s="33" t="str">
        <x:v>1. Preparar el estado: un administrador autorizado se encuentra en la gestión de publicaciones.
2. Ingresar a la vista correspondiente a HU-19.
3. Ejecutar: ingresa todos los datos obligatorios válidos de una nueva experiencia y guarda.
4. Verificar la respuesta visual, la respuesta del backend y la persistencia cuando aplique.</x:v>
      </x:c>
      <x:c r="J22" s="33" t="str">
        <x:v>Entonces el sistema crea la publicación y la deja en el estado definido para su administración o publicación.</x:v>
      </x:c>
      <x:c r="K22" s="33" t="str">
        <x:v>No ejecutada</x:v>
      </x:c>
      <x:c r="L22" s="33" t="str"/>
      <x:c r="M22" s="33" t="str"/>
      <x:c r="N22" s="33" t="str"/>
      <x:c r="O22" s="33" t="str"/>
      <x:c r="P22" s="33" t="str"/>
    </x:row>
    <x:row r="23" ht="92" customHeight="1">
      <x:c r="A23" s="31" t="str">
        <x:v>CP-S1-022</x:v>
      </x:c>
      <x:c r="B23" s="31" t="str">
        <x:v>HU-19</x:v>
      </x:c>
      <x:c r="C23" s="31" t="n">
        <x:v>2</x:v>
      </x:c>
      <x:c r="D23" s="31" t="str">
        <x:v>Consultar publicaciones</x:v>
      </x:c>
      <x:c r="E23" s="31" t="str">
        <x:v>Funcional positivo</x:v>
      </x:c>
      <x:c r="F23" s="31" t="str">
        <x:v>Alta</x:v>
      </x:c>
      <x:c r="G23" s="31" t="str">
        <x:v>Dado que existen publicaciones de experiencias en diferentes estados</x:v>
      </x:c>
      <x:c r="H23" s="31" t="str">
        <x:v>Datos controlados del ambiente de pruebas.</x:v>
      </x:c>
      <x:c r="I23" s="31" t="str">
        <x:v>1. Preparar el estado: existen publicaciones de experiencias en diferentes estados.
2. Ingresar a la vista correspondiente a HU-19.
3. Ejecutar: el administrador accede al listado administrativo.
4. Verificar la respuesta visual, la respuesta del backend y la persistencia cuando aplique.</x:v>
      </x:c>
      <x:c r="J23" s="31" t="str">
        <x:v>Entonces el sistema muestra las publicaciones existentes, incluidas las que todavía no son visibles para los usuarios.</x:v>
      </x:c>
      <x:c r="K23" s="31" t="str">
        <x:v>No ejecutada</x:v>
      </x:c>
      <x:c r="L23" s="31" t="str"/>
      <x:c r="M23" s="31" t="str"/>
      <x:c r="N23" s="31" t="str"/>
      <x:c r="O23" s="31" t="str"/>
      <x:c r="P23" s="31" t="str"/>
    </x:row>
    <x:row r="24" ht="92" customHeight="1">
      <x:c r="A24" s="33" t="str">
        <x:v>CP-S1-023</x:v>
      </x:c>
      <x:c r="B24" s="33" t="str">
        <x:v>HU-19</x:v>
      </x:c>
      <x:c r="C24" s="33" t="n">
        <x:v>3</x:v>
      </x:c>
      <x:c r="D24" s="33" t="str">
        <x:v>Actualizar publicación</x:v>
      </x:c>
      <x:c r="E24" s="33" t="str">
        <x:v>CRUD / persistencia</x:v>
      </x:c>
      <x:c r="F24" s="33" t="str">
        <x:v>Alta</x:v>
      </x:c>
      <x:c r="G24" s="33" t="str">
        <x:v>Dado que una publicación existente puede ser editada</x:v>
      </x:c>
      <x:c r="H24" s="33" t="str">
        <x:v>Experiencia de prueba con categoría, precio, ubicación, horario, imágenes y estado controlados.</x:v>
      </x:c>
      <x:c r="I24" s="33" t="str">
        <x:v>1. Preparar el estado: una publicación existente puede ser editada.
2. Ingresar a la vista correspondiente a HU-19.
3. Ejecutar: el administrador modifica nombre, descripción, categoría, precio, ubicación, horarios, imágenes u otro dato permitido y guarda.
4. Verificar la respuesta visual, la respuesta del backend y la persistencia cuando aplique.</x:v>
      </x:c>
      <x:c r="J24" s="33" t="str">
        <x:v>Entonces el sistema valida y actualiza la publicación con la nueva información.</x:v>
      </x:c>
      <x:c r="K24" s="33" t="str">
        <x:v>No ejecutada</x:v>
      </x:c>
      <x:c r="L24" s="33" t="str"/>
      <x:c r="M24" s="33" t="str"/>
      <x:c r="N24" s="33" t="str"/>
      <x:c r="O24" s="33" t="str"/>
      <x:c r="P24" s="33" t="str"/>
    </x:row>
    <x:row r="25" ht="92" customHeight="1">
      <x:c r="A25" s="31" t="str">
        <x:v>CP-S1-024</x:v>
      </x:c>
      <x:c r="B25" s="31" t="str">
        <x:v>HU-19</x:v>
      </x:c>
      <x:c r="C25" s="31" t="n">
        <x:v>4</x:v>
      </x:c>
      <x:c r="D25" s="31" t="str">
        <x:v>Cambiar estado de publicación</x:v>
      </x:c>
      <x:c r="E25" s="31" t="str">
        <x:v>CRUD / persistencia</x:v>
      </x:c>
      <x:c r="F25" s="31" t="str">
        <x:v>Alta</x:v>
      </x:c>
      <x:c r="G25" s="31" t="str">
        <x:v>Dado que una experiencia existe en el entorno administrativo</x:v>
      </x:c>
      <x:c r="H25" s="31" t="str">
        <x:v>Experiencia de prueba con categoría, precio, ubicación, horario, imágenes y estado controlados.</x:v>
      </x:c>
      <x:c r="I25" s="31" t="str">
        <x:v>1. Preparar el estado: una experiencia existe en el entorno administrativo.
2. Ingresar a la vista correspondiente a HU-19.
3. Ejecutar: el administrador habilita, publica, deshabilita o cambia su estado según las opciones permitidas.
4. Verificar la respuesta visual, la respuesta del backend y la persistencia cuando aplique.</x:v>
      </x:c>
      <x:c r="J25" s="31" t="str">
        <x:v>Entonces el sistema actualiza su visibilidad y solo muestra en el catálogo de usuarios las experiencias habilitadas para publicación.</x:v>
      </x:c>
      <x:c r="K25" s="31" t="str">
        <x:v>No ejecutada</x:v>
      </x:c>
      <x:c r="L25" s="31" t="str"/>
      <x:c r="M25" s="31" t="str"/>
      <x:c r="N25" s="31" t="str"/>
      <x:c r="O25" s="31" t="str"/>
      <x:c r="P25" s="31" t="str"/>
    </x:row>
    <x:row r="26" ht="92" customHeight="1">
      <x:c r="A26" s="33" t="str">
        <x:v>CP-S1-025</x:v>
      </x:c>
      <x:c r="B26" s="33" t="str">
        <x:v>HU-19</x:v>
      </x:c>
      <x:c r="C26" s="33" t="n">
        <x:v>5</x:v>
      </x:c>
      <x:c r="D26" s="33" t="str">
        <x:v>Eliminar publicación</x:v>
      </x:c>
      <x:c r="E26" s="33" t="str">
        <x:v>CRUD / persistencia</x:v>
      </x:c>
      <x:c r="F26" s="33" t="str">
        <x:v>Alta</x:v>
      </x:c>
      <x:c r="G26" s="33" t="str">
        <x:v>Dado que una publicación ya no debe conservarse y el administrador tiene permisos para eliminarla</x:v>
      </x:c>
      <x:c r="H26" s="33" t="str">
        <x:v>Experiencia de prueba con categoría, precio, ubicación, horario, imágenes y estado controlados.</x:v>
      </x:c>
      <x:c r="I26" s="33" t="str">
        <x:v>1. Preparar el estado: una publicación ya no debe conservarse y el administrador tiene permisos para eliminarla.
2. Ingresar a la vista correspondiente a HU-19.
3. Ejecutar: solicita la eliminación y confirma.
4. Verificar la respuesta visual, la respuesta del backend y la persistencia cuando aplique.</x:v>
      </x:c>
      <x:c r="J26" s="33" t="str">
        <x:v>Entonces el sistema elimina o retira la publicación según la regla definida y deja de mostrarla como experiencia disponible.</x:v>
      </x:c>
      <x:c r="K26" s="33" t="str">
        <x:v>No ejecutada</x:v>
      </x:c>
      <x:c r="L26" s="33" t="str"/>
      <x:c r="M26" s="33" t="str"/>
      <x:c r="N26" s="33" t="str"/>
      <x:c r="O26" s="33" t="str"/>
      <x:c r="P26" s="33" t="str"/>
    </x:row>
    <x:row r="27" ht="92" customHeight="1">
      <x:c r="A27" s="31" t="str">
        <x:v>CP-S1-026</x:v>
      </x:c>
      <x:c r="B27" s="31" t="str">
        <x:v>HU-19</x:v>
      </x:c>
      <x:c r="C27" s="31" t="n">
        <x:v>6</x:v>
      </x:c>
      <x:c r="D27" s="31" t="str">
        <x:v>Validación de datos de experiencia</x:v>
      </x:c>
      <x:c r="E27" s="31" t="str">
        <x:v>Funcional negativo</x:v>
      </x:c>
      <x:c r="F27" s="31" t="str">
        <x:v>Alta</x:v>
      </x:c>
      <x:c r="G27" s="31" t="str">
        <x:v>Dado que el administrador intenta crear o actualizar una publicación</x:v>
      </x:c>
      <x:c r="H27" s="31" t="str">
        <x:v>Datos controlados del ambiente de pruebas.</x:v>
      </x:c>
      <x:c r="I27" s="31" t="str">
        <x:v>1. Preparar el estado: el administrador intenta crear o actualizar una publicación.
2. Ingresar a la vista correspondiente a HU-19.
3. Ejecutar: falta un dato obligatorio o alguno tiene un formato o valor inválido.
4. Verificar la respuesta visual, la respuesta del backend y la persistencia cuando aplique.</x:v>
      </x:c>
      <x:c r="J27" s="31" t="str">
        <x:v>Entonces el sistema rechaza el guardado, conserva la información previamente válida cuando corresponda e indica qué campos deben corregirse.</x:v>
      </x:c>
      <x:c r="K27" s="31" t="str">
        <x:v>No ejecutada</x:v>
      </x:c>
      <x:c r="L27" s="31" t="str"/>
      <x:c r="M27" s="31" t="str"/>
      <x:c r="N27" s="31" t="str"/>
      <x:c r="O27" s="31" t="str"/>
      <x:c r="P27" s="31" t="str"/>
    </x:row>
    <x:row r="28" ht="92" customHeight="1">
      <x:c r="A28" s="33" t="str">
        <x:v>CP-S1-027</x:v>
      </x:c>
      <x:c r="B28" s="33" t="str">
        <x:v>HU-01</x:v>
      </x:c>
      <x:c r="C28" s="33" t="n">
        <x:v>1</x:v>
      </x:c>
      <x:c r="D28" s="33" t="str">
        <x:v>Exploración pública de la plataforma</x:v>
      </x:c>
      <x:c r="E28" s="33" t="str">
        <x:v>Funcional positivo</x:v>
      </x:c>
      <x:c r="F28" s="33" t="str">
        <x:v>Alta</x:v>
      </x:c>
      <x:c r="G28" s="33" t="str">
        <x:v>Dado que una persona visitante ingresa a Entre Caminos sin haber iniciado sesión</x:v>
      </x:c>
      <x:c r="H28" s="33" t="str">
        <x:v>Datos controlados del ambiente de pruebas.</x:v>
      </x:c>
      <x:c r="I28" s="33" t="str">
        <x:v>1. Preparar el estado: una persona visitante ingresa a Entre Caminos sin haber iniciado sesión.
2. Ingresar a la vista correspondiente a HU-01.
3. Ejecutar: accede a la página principal de la plataforma.
4. Verificar la respuesta visual, la respuesta del backend y la persistencia cuando aplique.</x:v>
      </x:c>
      <x:c r="J28" s="33" t="str">
        <x:v>Entonces el sistema muestra la propuesta de valor, las funcionalidades principales y una vista general de los tipos de experiencias disponibles, sin exigir registro.</x:v>
      </x:c>
      <x:c r="K28" s="33" t="str">
        <x:v>No ejecutada</x:v>
      </x:c>
      <x:c r="L28" s="33" t="str"/>
      <x:c r="M28" s="33" t="str"/>
      <x:c r="N28" s="33" t="str"/>
      <x:c r="O28" s="33" t="str"/>
      <x:c r="P28" s="33" t="str"/>
    </x:row>
    <x:row r="29" ht="92" customHeight="1">
      <x:c r="A29" s="31" t="str">
        <x:v>CP-S1-028</x:v>
      </x:c>
      <x:c r="B29" s="31" t="str">
        <x:v>HU-01</x:v>
      </x:c>
      <x:c r="C29" s="31" t="n">
        <x:v>2</x:v>
      </x:c>
      <x:c r="D29" s="31" t="str">
        <x:v>Acceso a registro e inicio de sesión</x:v>
      </x:c>
      <x:c r="E29" s="31" t="str">
        <x:v>Integración / seguridad</x:v>
      </x:c>
      <x:c r="F29" s="31" t="str">
        <x:v>Alta</x:v>
      </x:c>
      <x:c r="G29" s="31" t="str">
        <x:v>Dado que una persona visitante se encuentra explorando la página pública</x:v>
      </x:c>
      <x:c r="H29" s="31" t="str">
        <x:v>Datos controlados del ambiente de pruebas.</x:v>
      </x:c>
      <x:c r="I29" s="31" t="str">
        <x:v>1. Preparar el estado: una persona visitante se encuentra explorando la página pública.
2. Ingresar a la vista correspondiente a HU-01.
3. Ejecutar: selecciona la opción de registrarse o iniciar sesión.
4. Verificar la respuesta visual, la respuesta del backend y la persistencia cuando aplique.</x:v>
      </x:c>
      <x:c r="J29" s="31" t="str">
        <x:v>Entonces el sistema la dirige al flujo correspondiente de creación de cuenta o autenticación.</x:v>
      </x:c>
      <x:c r="K29" s="31" t="str">
        <x:v>No ejecutada</x:v>
      </x:c>
      <x:c r="L29" s="31" t="str"/>
      <x:c r="M29" s="31" t="str"/>
      <x:c r="N29" s="31" t="str"/>
      <x:c r="O29" s="31" t="str"/>
      <x:c r="P29" s="31" t="str"/>
    </x:row>
    <x:row r="30" ht="92" customHeight="1">
      <x:c r="A30" s="33" t="str">
        <x:v>CP-S1-029</x:v>
      </x:c>
      <x:c r="B30" s="33" t="str">
        <x:v>HU-01</x:v>
      </x:c>
      <x:c r="C30" s="33" t="n">
        <x:v>3</x:v>
      </x:c>
      <x:c r="D30" s="33" t="str">
        <x:v>Restricción de funcionalidades personalizadas</x:v>
      </x:c>
      <x:c r="E30" s="33" t="str">
        <x:v>Seguridad / autorización</x:v>
      </x:c>
      <x:c r="F30" s="33" t="str">
        <x:v>Alta</x:v>
      </x:c>
      <x:c r="G30" s="33" t="str">
        <x:v>Dado que una persona visitante no tiene una sesión iniciada</x:v>
      </x:c>
      <x:c r="H30" s="33" t="str">
        <x:v>Datos controlados del ambiente de pruebas.</x:v>
      </x:c>
      <x:c r="I30" s="33" t="str">
        <x:v>1. Preparar el estado: una persona visitante no tiene una sesión iniciada.
2. Ingresar a la vista correspondiente a HU-01.
3. Ejecutar: intenta acceder a una funcionalidad que requiere autenticación.
4. Verificar la respuesta visual, la respuesta del backend y la persistencia cuando aplique.</x:v>
      </x:c>
      <x:c r="J30" s="33" t="str">
        <x:v>Entonces el sistema informa que debe registrarse o iniciar sesión antes de utilizar la funcionalidad y no muestra información personalizada.</x:v>
      </x:c>
      <x:c r="K30" s="33" t="str">
        <x:v>No ejecutada</x:v>
      </x:c>
      <x:c r="L30" s="33" t="str"/>
      <x:c r="M30" s="33" t="str"/>
      <x:c r="N30" s="33" t="str"/>
      <x:c r="O30" s="33" t="str"/>
      <x:c r="P30" s="33" t="str"/>
    </x:row>
    <x:row r="31" ht="92" customHeight="1">
      <x:c r="A31" s="32" t="str">
        <x:v>CP-S1-030</x:v>
      </x:c>
      <x:c r="B31" s="32" t="str">
        <x:v>HU-01</x:v>
      </x:c>
      <x:c r="C31" s="32" t="n">
        <x:v>4</x:v>
      </x:c>
      <x:c r="D31" s="32" t="str">
        <x:v>Separación del entorno administrativo</x:v>
      </x:c>
      <x:c r="E31" s="32" t="str">
        <x:v>Seguridad / autorización</x:v>
      </x:c>
      <x:c r="F31" s="32" t="str">
        <x:v>Alta</x:v>
      </x:c>
      <x:c r="G31" s="32" t="str">
        <x:v>Dado que una persona visitante se encuentra en la exploración pública</x:v>
      </x:c>
      <x:c r="H31" s="32" t="str">
        <x:v>Datos controlados del ambiente de pruebas.</x:v>
      </x:c>
      <x:c r="I31" s="32" t="str">
        <x:v>1. Preparar el estado: una persona visitante se encuentra en la exploración pública.
2. Ingresar a la vista correspondiente a HU-01.
3. Ejecutar: navega por las opciones disponibles.
4. Verificar la respuesta visual, la respuesta del backend y la persistencia cuando aplique.</x:v>
      </x:c>
      <x:c r="J31" s="32" t="str">
        <x:v>Entonces el sistema no expone funciones, acciones ni información propia del panel administrativo.</x:v>
      </x:c>
      <x:c r="K31" s="32" t="str">
        <x:v>No ejecutada</x:v>
      </x:c>
      <x:c r="L31" s="32" t="str"/>
      <x:c r="M31" s="32" t="str"/>
      <x:c r="N31" s="32" t="str"/>
      <x:c r="O31" s="32" t="str"/>
      <x:c r="P31" s="32" t="str"/>
    </x:row>
  </x:sheetData>
  <x:dataValidations count="1">
    <x:dataValidation type="list" sqref="K2:K31">
      <x:formula1>"No ejecutada,Aprobada,Fallida,Bloqueada"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55" hidden="0" customWidth="1"/>
    <x:col min="3" max="3" width="24" hidden="0" customWidth="1"/>
    <x:col min="4" max="4" width="16" hidden="0" customWidth="1"/>
    <x:col min="5" max="5" width="30" hidden="0" customWidth="1"/>
    <x:col min="6" max="6" width="38" hidden="0" customWidth="1"/>
  </x:cols>
  <x:sheetData>
    <x:row r="1" ht="34" customHeight="1">
      <x:c r="A1" s="36" t="str">
        <x:v>CHECKLIST DE CIERRE Y EVIDENCIAS</x:v>
      </x:c>
      <x:c r="B1" s="36"/>
      <x:c r="C1" s="36"/>
      <x:c r="D1" s="36"/>
      <x:c r="E1" s="36"/>
      <x:c r="F1" s="36"/>
    </x:row>
    <x:row r="2">
      <x:c r="A2" s="2"/>
      <x:c r="B2" s="2"/>
      <x:c r="C2" s="2"/>
      <x:c r="D2" s="2"/>
      <x:c r="E2" s="2"/>
      <x:c r="F2" s="2"/>
    </x:row>
    <x:row r="3">
      <x:c r="A3" s="10" t="str">
        <x:v>ID</x:v>
      </x:c>
      <x:c r="B3" s="10" t="str">
        <x:v>Validación</x:v>
      </x:c>
      <x:c r="C3" s="10" t="str">
        <x:v>Fuente</x:v>
      </x:c>
      <x:c r="D3" s="10" t="str">
        <x:v>Estado</x:v>
      </x:c>
      <x:c r="E3" s="10" t="str">
        <x:v>Evidencia</x:v>
      </x:c>
      <x:c r="F3" s="10" t="str">
        <x:v>Observaciones</x:v>
      </x:c>
    </x:row>
    <x:row r="4" ht="52" customHeight="1">
      <x:c r="A4" s="33" t="str">
        <x:v>DOD-01</x:v>
      </x:c>
      <x:c r="B4" s="33" t="str">
        <x:v>Todos los criterios de aceptación tienen caso trazado.</x:v>
      </x:c>
      <x:c r="C4" s="33" t="str">
        <x:v>Definition of Done</x:v>
      </x:c>
      <x:c r="D4" s="33" t="str">
        <x:v>Pendiente</x:v>
      </x:c>
      <x:c r="E4" s="33" t="str"/>
      <x:c r="F4" s="33" t="str"/>
    </x:row>
    <x:row r="5" ht="52" customHeight="1">
      <x:c r="A5" s="31" t="str">
        <x:v>DOD-02</x:v>
      </x:c>
      <x:c r="B5" s="31" t="str">
        <x:v>Frontend, backend y base de datos están integrados cuando aplica.</x:v>
      </x:c>
      <x:c r="C5" s="31" t="str">
        <x:v>Definition of Done</x:v>
      </x:c>
      <x:c r="D5" s="31" t="str">
        <x:v>Pendiente</x:v>
      </x:c>
      <x:c r="E5" s="31" t="str"/>
      <x:c r="F5" s="31" t="str"/>
    </x:row>
    <x:row r="6" ht="52" customHeight="1">
      <x:c r="A6" s="33" t="str">
        <x:v>DOD-03</x:v>
      </x:c>
      <x:c r="B6" s="33" t="str">
        <x:v>Validaciones y reglas de negocio funcionan.</x:v>
      </x:c>
      <x:c r="C6" s="33" t="str">
        <x:v>Definition of Done</x:v>
      </x:c>
      <x:c r="D6" s="33" t="str">
        <x:v>Pendiente</x:v>
      </x:c>
      <x:c r="E6" s="33" t="str"/>
      <x:c r="F6" s="33" t="str"/>
    </x:row>
    <x:row r="7" ht="52" customHeight="1">
      <x:c r="A7" s="31" t="str">
        <x:v>DOD-04</x:v>
      </x:c>
      <x:c r="B7" s="31" t="str">
        <x:v>No quedan defectos críticos abiertos.</x:v>
      </x:c>
      <x:c r="C7" s="31" t="str">
        <x:v>Definition of Done</x:v>
      </x:c>
      <x:c r="D7" s="31" t="str">
        <x:v>Pendiente</x:v>
      </x:c>
      <x:c r="E7" s="31" t="str"/>
      <x:c r="F7" s="31" t="str"/>
    </x:row>
    <x:row r="8" ht="52" customHeight="1">
      <x:c r="A8" s="33" t="str">
        <x:v>DOD-05</x:v>
      </x:c>
      <x:c r="B8" s="33" t="str">
        <x:v>Código revisado e integrado.</x:v>
      </x:c>
      <x:c r="C8" s="33" t="str">
        <x:v>Definition of Done</x:v>
      </x:c>
      <x:c r="D8" s="33" t="str">
        <x:v>Pendiente</x:v>
      </x:c>
      <x:c r="E8" s="33" t="str"/>
      <x:c r="F8" s="33" t="str"/>
    </x:row>
    <x:row r="9" ht="52" customHeight="1">
      <x:c r="A9" s="31" t="str">
        <x:v>DOD-06</x:v>
      </x:c>
      <x:c r="B9" s="31" t="str">
        <x:v>Documentación y evidencias actualizadas.</x:v>
      </x:c>
      <x:c r="C9" s="31" t="str">
        <x:v>Definition of Done</x:v>
      </x:c>
      <x:c r="D9" s="31" t="str">
        <x:v>Pendiente</x:v>
      </x:c>
      <x:c r="E9" s="31" t="str"/>
      <x:c r="F9" s="31" t="str"/>
    </x:row>
    <x:row r="10" ht="52" customHeight="1">
      <x:c r="A10" s="33" t="str">
        <x:v>DOD-07</x:v>
      </x:c>
      <x:c r="B10" s="33" t="str">
        <x:v>Estado correspondiente actualizado en Jira.</x:v>
      </x:c>
      <x:c r="C10" s="33" t="str">
        <x:v>Definition of Done</x:v>
      </x:c>
      <x:c r="D10" s="33" t="str">
        <x:v>Pendiente</x:v>
      </x:c>
      <x:c r="E10" s="33" t="str"/>
      <x:c r="F10" s="33" t="str"/>
    </x:row>
    <x:row r="11" ht="52" customHeight="1">
      <x:c r="A11" s="31" t="str">
        <x:v>TEC-01</x:v>
      </x:c>
      <x:c r="B11" s="31" t="str">
        <x:v>TypeScript, pruebas automatizadas y build ejecutados sin errores críticos.</x:v>
      </x:c>
      <x:c r="C11" s="31" t="str">
        <x:v>Control técnico</x:v>
      </x:c>
      <x:c r="D11" s="31" t="str">
        <x:v>Pendiente</x:v>
      </x:c>
      <x:c r="E11" s="31" t="str"/>
      <x:c r="F11" s="31" t="str"/>
    </x:row>
    <x:row r="12" ht="52" customHeight="1">
      <x:c r="A12" s="33" t="str">
        <x:v>TEC-02</x:v>
      </x:c>
      <x:c r="B12" s="33" t="str">
        <x:v>Persistencia verificada tras recarga y en otra sesión/navegador cuando aplica.</x:v>
      </x:c>
      <x:c r="C12" s="33" t="str">
        <x:v>Control técnico</x:v>
      </x:c>
      <x:c r="D12" s="33" t="str">
        <x:v>Pendiente</x:v>
      </x:c>
      <x:c r="E12" s="33" t="str"/>
      <x:c r="F12" s="33" t="str"/>
    </x:row>
  </x:sheetData>
  <x:mergeCells>
    <x:mergeCell ref="A1:F1"/>
  </x:mergeCells>
  <x:dataValidations count="1">
    <x:dataValidation type="list" sqref="D4:D12">
      <x:formula1>"Pendiente,Cumple,No cumple,No aplica"</x:formula1>
    </x:dataValidation>
  </x:dataValidations>
  <x:pageMargins left="0.7" right="0.7" top="0.75" bottom="0.75" header="0.3" footer="0.3"/>
</x:worksheet>
</file>